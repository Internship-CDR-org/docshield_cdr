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<sst xmlns="http://schemas.openxmlformats.org/spreadsheetml/2006/main" count="362" uniqueCount="216">
  <si>
    <t xml:space="preserve">CRT / Aptitude &amp; Reasoning Prep – 9-Week Day-by-Day Tracker</t>
  </si>
  <si>
    <t xml:space="preserve">Pardhu – 45–60 min/day, 6 days/week (Sun off). Fill in Date, mark Status, and jot Notes as you go.</t>
  </si>
  <si>
    <t xml:space="preserve">Week</t>
  </si>
  <si>
    <t xml:space="preserve">Day</t>
  </si>
  <si>
    <t xml:space="preserve">Date</t>
  </si>
  <si>
    <t xml:space="preserve">Quant Topic</t>
  </si>
  <si>
    <t xml:space="preserve">Reasoning Topic</t>
  </si>
  <si>
    <t xml:space="preserve">Verbal Task</t>
  </si>
  <si>
    <t xml:space="preserve">Time (min)</t>
  </si>
  <si>
    <t xml:space="preserve">Status</t>
  </si>
  <si>
    <t xml:space="preserve">Notes</t>
  </si>
  <si>
    <t xml:space="preserve">Wk 1: Number System</t>
  </si>
  <si>
    <t xml:space="preserve">Day 1</t>
  </si>
  <si>
    <t xml:space="preserve">Divisibility rules (2,3,4,5,6,8,9,11) + practice</t>
  </si>
  <si>
    <t xml:space="preserve">Blood Relations – basics &amp; family tree diagrams</t>
  </si>
  <si>
    <t xml:space="preserve">10 new words + meanings (start a word list)</t>
  </si>
  <si>
    <t xml:space="preserve">Not Started</t>
  </si>
  <si>
    <t xml:space="preserve">Day 2</t>
  </si>
  <si>
    <t xml:space="preserve">LCM &amp; HCF – basics, methods</t>
  </si>
  <si>
    <t xml:space="preserve">Blood Relations – practice, 15 Qs</t>
  </si>
  <si>
    <t xml:space="preserve">10 new words + meanings</t>
  </si>
  <si>
    <t xml:space="preserve">Day 3</t>
  </si>
  <si>
    <t xml:space="preserve">LCM &amp; HCF – word problems</t>
  </si>
  <si>
    <t xml:space="preserve">Blood Relations – coded/complex problems</t>
  </si>
  <si>
    <t xml:space="preserve">Synonyms practice – 15 Qs</t>
  </si>
  <si>
    <t xml:space="preserve">Day 4</t>
  </si>
  <si>
    <t xml:space="preserve">Remainders – basics, remainder theorem intro</t>
  </si>
  <si>
    <t xml:space="preserve">Blood Relations – mixed test, 20 Qs</t>
  </si>
  <si>
    <t xml:space="preserve">Antonyms practice – 15 Qs</t>
  </si>
  <si>
    <t xml:space="preserve">Day 5</t>
  </si>
  <si>
    <t xml:space="preserve">Unit digit &amp; cyclicity shortcuts</t>
  </si>
  <si>
    <t xml:space="preserve">Coding-Decoding – letter/number basics</t>
  </si>
  <si>
    <t xml:space="preserve">Vocabulary revision + 10 new words</t>
  </si>
  <si>
    <t xml:space="preserve">Day 6</t>
  </si>
  <si>
    <t xml:space="preserve">Number System full mock (30 Qs, timed) + review mistakes</t>
  </si>
  <si>
    <t xml:space="preserve">Coding-Decoding – practice, 15 Qs</t>
  </si>
  <si>
    <t xml:space="preserve">One-word substitution – 15 Qs</t>
  </si>
  <si>
    <t xml:space="preserve">Wk 2: Percentages</t>
  </si>
  <si>
    <t xml:space="preserve">Day 7</t>
  </si>
  <si>
    <t xml:space="preserve">Percentage basics + memorize fraction-% table (up to 1/12)</t>
  </si>
  <si>
    <t xml:space="preserve">Coding-Decoding – advanced patterns</t>
  </si>
  <si>
    <t xml:space="preserve">Synonyms – 15 Qs</t>
  </si>
  <si>
    <t xml:space="preserve">Day 8</t>
  </si>
  <si>
    <t xml:space="preserve">% increase/decrease, successive % change</t>
  </si>
  <si>
    <t xml:space="preserve">Coding-Decoding – mixed test, 20 Qs</t>
  </si>
  <si>
    <t xml:space="preserve">Antonyms – 15 Qs</t>
  </si>
  <si>
    <t xml:space="preserve">Day 9</t>
  </si>
  <si>
    <t xml:space="preserve">% applications – population, price change problems</t>
  </si>
  <si>
    <t xml:space="preserve">Direction Sense – basics</t>
  </si>
  <si>
    <t xml:space="preserve">Day 10</t>
  </si>
  <si>
    <t xml:space="preserve">Percentage word problems – mixed practice</t>
  </si>
  <si>
    <t xml:space="preserve">Direction Sense – practice, 15 Qs</t>
  </si>
  <si>
    <t xml:space="preserve">Sentence correction – 15 Qs</t>
  </si>
  <si>
    <t xml:space="preserve">Day 11</t>
  </si>
  <si>
    <t xml:space="preserve">Percentage mock test (20 Qs) + review</t>
  </si>
  <si>
    <t xml:space="preserve">Direction Sense – distance/shortest path problems</t>
  </si>
  <si>
    <t xml:space="preserve">Day 12</t>
  </si>
  <si>
    <t xml:space="preserve">Number System + Percentage combined revision test (25 Qs)</t>
  </si>
  <si>
    <t xml:space="preserve">Direction &amp; Coding mixed test, 20 Qs</t>
  </si>
  <si>
    <t xml:space="preserve">Weekly verbal mini-test – 20 Qs</t>
  </si>
  <si>
    <t xml:space="preserve">Wk 3: Profit/Loss, SI &amp; CI</t>
  </si>
  <si>
    <t xml:space="preserve">Day 13</t>
  </si>
  <si>
    <t xml:space="preserve">Profit &amp; Loss basics – CP, SP, profit%, loss%</t>
  </si>
  <si>
    <t xml:space="preserve">Direction Sense – advanced problems</t>
  </si>
  <si>
    <t xml:space="preserve">Day 14</t>
  </si>
  <si>
    <t xml:space="preserve">P&amp;L – discount &amp; marked price problems</t>
  </si>
  <si>
    <t xml:space="preserve">Series – number series basics</t>
  </si>
  <si>
    <t xml:space="preserve">Vocabulary + 10 new words</t>
  </si>
  <si>
    <t xml:space="preserve">Day 15</t>
  </si>
  <si>
    <t xml:space="preserve">P&amp;L – successive discounts, dishonest dealer problems</t>
  </si>
  <si>
    <t xml:space="preserve">Series – alphabet series basics</t>
  </si>
  <si>
    <t xml:space="preserve">Synonyms/Antonyms – 15 Qs</t>
  </si>
  <si>
    <t xml:space="preserve">Day 16</t>
  </si>
  <si>
    <t xml:space="preserve">Simple Interest basics + formula applications</t>
  </si>
  <si>
    <t xml:space="preserve">Series – mixed number/alphabet, 15 Qs</t>
  </si>
  <si>
    <t xml:space="preserve">Day 17</t>
  </si>
  <si>
    <t xml:space="preserve">Compound Interest basics + CI vs SI difference problems</t>
  </si>
  <si>
    <t xml:space="preserve">Series – practice test, 20 Qs</t>
  </si>
  <si>
    <t xml:space="preserve">Day 18</t>
  </si>
  <si>
    <t xml:space="preserve">P&amp;L + SI/CI mock test (25 Qs) + review</t>
  </si>
  <si>
    <t xml:space="preserve">Series – mixed mock, 20 Qs</t>
  </si>
  <si>
    <t xml:space="preserve">Wk 4: Ratio, Averages, Mixtures</t>
  </si>
  <si>
    <t xml:space="preserve">Day 19</t>
  </si>
  <si>
    <t xml:space="preserve">Ratio &amp; Proportion – basics</t>
  </si>
  <si>
    <t xml:space="preserve">Series – missing number problems</t>
  </si>
  <si>
    <t xml:space="preserve">Day 20</t>
  </si>
  <si>
    <t xml:space="preserve">Ratio – partnership problems</t>
  </si>
  <si>
    <t xml:space="preserve">Seating Arrangement – linear, basics</t>
  </si>
  <si>
    <t xml:space="preserve">Day 21</t>
  </si>
  <si>
    <t xml:space="preserve">Averages – basics &amp; applications</t>
  </si>
  <si>
    <t xml:space="preserve">Seating Arrangement – linear, practice 15 Qs</t>
  </si>
  <si>
    <t xml:space="preserve">Day 22</t>
  </si>
  <si>
    <t xml:space="preserve">Averages – age &amp; weighted average problems</t>
  </si>
  <si>
    <t xml:space="preserve">Seating Arrangement – linear, mixed test 20 Qs</t>
  </si>
  <si>
    <t xml:space="preserve">Day 23</t>
  </si>
  <si>
    <t xml:space="preserve">Mixtures &amp; Alligation – basics</t>
  </si>
  <si>
    <t xml:space="preserve">Seating Arrangement – linear, advanced problems</t>
  </si>
  <si>
    <t xml:space="preserve">Day 24</t>
  </si>
  <si>
    <t xml:space="preserve">Ratio + Averages + Mixtures mock test (25 Qs) + review</t>
  </si>
  <si>
    <t xml:space="preserve">Seating Arrangement – mixed mock, 20 Qs</t>
  </si>
  <si>
    <t xml:space="preserve">Wk 5: Time &amp; Work, Pipes &amp; Cisterns</t>
  </si>
  <si>
    <t xml:space="preserve">Day 25</t>
  </si>
  <si>
    <t xml:space="preserve">Time &amp; Work – basics, efficiency method</t>
  </si>
  <si>
    <t xml:space="preserve">Seating Arrangement – circular, basics</t>
  </si>
  <si>
    <t xml:space="preserve">Reading Comprehension – 1 passage, 5 Qs</t>
  </si>
  <si>
    <t xml:space="preserve">Day 26</t>
  </si>
  <si>
    <t xml:space="preserve">Time &amp; Work – work + wages problems</t>
  </si>
  <si>
    <t xml:space="preserve">Seating Arrangement – circular, practice 15 Qs</t>
  </si>
  <si>
    <t xml:space="preserve">Day 27</t>
  </si>
  <si>
    <t xml:space="preserve">Pipes &amp; Cisterns – basics</t>
  </si>
  <si>
    <t xml:space="preserve">Seating Arrangement – circular, mixed test 20 Qs</t>
  </si>
  <si>
    <t xml:space="preserve">Day 28</t>
  </si>
  <si>
    <t xml:space="preserve">Pipes &amp; Cisterns – combined inlet/outlet problems</t>
  </si>
  <si>
    <t xml:space="preserve">Puzzles – box/floor arrangement, basics</t>
  </si>
  <si>
    <t xml:space="preserve">Day 29</t>
  </si>
  <si>
    <t xml:space="preserve">Time &amp; Work + Pipes mock test (20 Qs)</t>
  </si>
  <si>
    <t xml:space="preserve">Puzzles – practice, 15 Qs</t>
  </si>
  <si>
    <t xml:space="preserve">Day 30</t>
  </si>
  <si>
    <t xml:space="preserve">Time &amp; Work family – full revision test (25 Qs)</t>
  </si>
  <si>
    <t xml:space="preserve">Puzzles – mixed test, 20 Qs</t>
  </si>
  <si>
    <t xml:space="preserve">Wk 6: Time, Speed &amp; Distance</t>
  </si>
  <si>
    <t xml:space="preserve">Day 31</t>
  </si>
  <si>
    <t xml:space="preserve">Time, Speed &amp; Distance – basics</t>
  </si>
  <si>
    <t xml:space="preserve">Puzzles – advanced (floor/box + condition based)</t>
  </si>
  <si>
    <t xml:space="preserve">Day 32</t>
  </si>
  <si>
    <t xml:space="preserve">Relative speed – trains problems</t>
  </si>
  <si>
    <t xml:space="preserve">Syllogisms – basics (2 statements)</t>
  </si>
  <si>
    <t xml:space="preserve">Day 33</t>
  </si>
  <si>
    <t xml:space="preserve">Boats &amp; Streams</t>
  </si>
  <si>
    <t xml:space="preserve">Syllogisms – practice, 15 Qs</t>
  </si>
  <si>
    <t xml:space="preserve">Day 34</t>
  </si>
  <si>
    <t xml:space="preserve">Races &amp; circular motion problems</t>
  </si>
  <si>
    <t xml:space="preserve">Syllogisms – 3+ statements, complex cases</t>
  </si>
  <si>
    <t xml:space="preserve">Day 35</t>
  </si>
  <si>
    <t xml:space="preserve">TSD mock test (25 Qs)</t>
  </si>
  <si>
    <t xml:space="preserve">Syllogisms – mixed test, 20 Qs</t>
  </si>
  <si>
    <t xml:space="preserve">Para jumbles – 10 Qs</t>
  </si>
  <si>
    <t xml:space="preserve">Day 36</t>
  </si>
  <si>
    <t xml:space="preserve">Time-Work-Speed-Distance combined revision test</t>
  </si>
  <si>
    <t xml:space="preserve">Syllogisms + Puzzles mixed mock, 20 Qs</t>
  </si>
  <si>
    <t xml:space="preserve">Wk 7: Permutation, Combination &amp; Probability</t>
  </si>
  <si>
    <t xml:space="preserve">Day 37</t>
  </si>
  <si>
    <t xml:space="preserve">Permutations – basics</t>
  </si>
  <si>
    <t xml:space="preserve">Data Sufficiency – basics</t>
  </si>
  <si>
    <t xml:space="preserve">Day 38</t>
  </si>
  <si>
    <t xml:space="preserve">Combinations – basics</t>
  </si>
  <si>
    <t xml:space="preserve">Data Sufficiency – practice, 15 Qs</t>
  </si>
  <si>
    <t xml:space="preserve">Day 39</t>
  </si>
  <si>
    <t xml:space="preserve">P&amp;C – mixed word problems</t>
  </si>
  <si>
    <t xml:space="preserve">Data Sufficiency – mixed test, 20 Qs</t>
  </si>
  <si>
    <t xml:space="preserve">Cloze test – 1 passage</t>
  </si>
  <si>
    <t xml:space="preserve">Day 40</t>
  </si>
  <si>
    <t xml:space="preserve">Probability – basics</t>
  </si>
  <si>
    <t xml:space="preserve">Blood Relations + Coding – timed revision, 20 Qs</t>
  </si>
  <si>
    <t xml:space="preserve">Day 41</t>
  </si>
  <si>
    <t xml:space="preserve">Probability – dice, cards, coins problems</t>
  </si>
  <si>
    <t xml:space="preserve">Direction + Series – timed revision, 20 Qs</t>
  </si>
  <si>
    <t xml:space="preserve">Day 42</t>
  </si>
  <si>
    <t xml:space="preserve">P&amp;C + Probability mock test (25 Qs)</t>
  </si>
  <si>
    <t xml:space="preserve">Seating + Puzzles – timed revision, 20 Qs</t>
  </si>
  <si>
    <t xml:space="preserve">Wk 8: Data Interpretation</t>
  </si>
  <si>
    <t xml:space="preserve">Day 43</t>
  </si>
  <si>
    <t xml:space="preserve">Data Interpretation – tables, basic calculations</t>
  </si>
  <si>
    <t xml:space="preserve">Syllogisms + Data Sufficiency – timed revision, 20 Qs</t>
  </si>
  <si>
    <t xml:space="preserve">Day 44</t>
  </si>
  <si>
    <t xml:space="preserve">Data Interpretation – bar graphs</t>
  </si>
  <si>
    <t xml:space="preserve">Reasoning – full mixed test #1, 25 Qs</t>
  </si>
  <si>
    <t xml:space="preserve">Day 45</t>
  </si>
  <si>
    <t xml:space="preserve">Data Interpretation – line graphs &amp; pie charts</t>
  </si>
  <si>
    <t xml:space="preserve">Reasoning – full mixed test #2, 25 Qs</t>
  </si>
  <si>
    <t xml:space="preserve">Day 46</t>
  </si>
  <si>
    <t xml:space="preserve">Data Interpretation – caselets (mixed data sets)</t>
  </si>
  <si>
    <t xml:space="preserve">Reasoning – full mixed test #3, 25 Qs</t>
  </si>
  <si>
    <t xml:space="preserve">Day 47</t>
  </si>
  <si>
    <t xml:space="preserve">DI mock test (20 Qs, timed)</t>
  </si>
  <si>
    <t xml:space="preserve">Reasoning – timed mock, 25 Qs</t>
  </si>
  <si>
    <t xml:space="preserve">Day 48</t>
  </si>
  <si>
    <t xml:space="preserve">DI + Quant revision test (30 Qs)</t>
  </si>
  <si>
    <t xml:space="preserve">Verbal revision – all topics, 20 Qs</t>
  </si>
  <si>
    <t xml:space="preserve">Wk 9: Full Revision &amp; Mock Tests</t>
  </si>
  <si>
    <t xml:space="preserve">Day 49</t>
  </si>
  <si>
    <t xml:space="preserve">Full revision – Number System, Percentage, P&amp;L</t>
  </si>
  <si>
    <t xml:space="preserve">Reasoning – company-pattern set #1, 25 Qs</t>
  </si>
  <si>
    <t xml:space="preserve">Verbal – company-pattern set #1, 20 Qs</t>
  </si>
  <si>
    <t xml:space="preserve">Day 50</t>
  </si>
  <si>
    <t xml:space="preserve">Full revision – SI/CI, Ratio, Averages, Mixtures</t>
  </si>
  <si>
    <t xml:space="preserve">Reasoning – company-pattern set #2, 25 Qs</t>
  </si>
  <si>
    <t xml:space="preserve">Verbal – company-pattern set #2, 20 Qs</t>
  </si>
  <si>
    <t xml:space="preserve">Day 51</t>
  </si>
  <si>
    <t xml:space="preserve">Full revision – Time &amp; Work, TSD</t>
  </si>
  <si>
    <t xml:space="preserve">Reasoning – company-pattern set #3, 25 Qs</t>
  </si>
  <si>
    <t xml:space="preserve">Verbal – company-pattern set #3, 20 Qs</t>
  </si>
  <si>
    <t xml:space="preserve">Day 52</t>
  </si>
  <si>
    <t xml:space="preserve">Full revision – P&amp;C, Probability, DI</t>
  </si>
  <si>
    <t xml:space="preserve">Reasoning – company-pattern set #4, 25 Qs</t>
  </si>
  <si>
    <t xml:space="preserve">Verbal – company-pattern set #4, 20 Qs</t>
  </si>
  <si>
    <t xml:space="preserve">Day 53</t>
  </si>
  <si>
    <t xml:space="preserve">Full-length company-pattern mock test #1 (all sections, timed)</t>
  </si>
  <si>
    <t xml:space="preserve">– included in mock above –</t>
  </si>
  <si>
    <t xml:space="preserve">Day 54</t>
  </si>
  <si>
    <t xml:space="preserve">Full-length company-pattern mock test #2 + review all weak areas</t>
  </si>
  <si>
    <t xml:space="preserve">Progress Dashboard</t>
  </si>
  <si>
    <t xml:space="preserve">Auto-updates from the Tracker sheet based on the Status column.</t>
  </si>
  <si>
    <t xml:space="preserve">Total Days</t>
  </si>
  <si>
    <t xml:space="preserve">Days Done</t>
  </si>
  <si>
    <t xml:space="preserve">Days Total</t>
  </si>
  <si>
    <t xml:space="preserve">% Complete</t>
  </si>
  <si>
    <t xml:space="preserve">Done</t>
  </si>
  <si>
    <t xml:space="preserve">In Progress</t>
  </si>
  <si>
    <t xml:space="preserve">Skipped</t>
  </si>
  <si>
    <t xml:space="preserve">How to use</t>
  </si>
  <si>
    <t xml:space="preserve">1. Go to the Tracker sheet and fill in the Date column as you start each day.</t>
  </si>
  <si>
    <t xml:space="preserve">2. Update Status via the dropdown: Not Started / In Progress / Done / Skipped.</t>
  </si>
  <si>
    <t xml:space="preserve">3. This Dashboard recalculates automatically – check it weekly to see your pace.</t>
  </si>
  <si>
    <t xml:space="preserve">4. Use Notes to jot down question types you got wrong, for quick revision later.</t>
  </si>
  <si>
    <t xml:space="preserve">5. If you fall behind, don't skip topics – shift the whole plan forward rather than compress 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</si>
</sst>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3.75" hidden="false" customHeight="true" outlineLevel="0" collapsed="false">
      <c r="A5" s="4" t="s">
        <v>11</v>
      </c>
      <c r="B5" s="4" t="s">
        <v>12</v>
      </c>
      <c r="C5" s="4"/>
      <c r="D5" s="5" t="s">
        <v>13</v>
      </c>
      <c r="E5" s="5" t="s">
        <v>14</v>
      </c>
      <c r="F5" s="5" t="s">
        <v>15</v>
      </c>
      <c r="G5" s="4" t="n">
        <v>50</v>
      </c>
      <c r="H5" s="4" t="s">
        <v>16</v>
      </c>
      <c r="I5" s="5"/>
    </row>
    <row r="6" customFormat="false" ht="33.75" hidden="false" customHeight="true" outlineLevel="0" collapsed="false">
      <c r="A6" s="6" t="s">
        <v>11</v>
      </c>
      <c r="B6" s="6" t="s">
        <v>17</v>
      </c>
      <c r="C6" s="6"/>
      <c r="D6" s="7" t="s">
        <v>18</v>
      </c>
      <c r="E6" s="7" t="s">
        <v>19</v>
      </c>
      <c r="F6" s="7" t="s">
        <v>20</v>
      </c>
      <c r="G6" s="6" t="n">
        <v>50</v>
      </c>
      <c r="H6" s="6" t="s">
        <v>16</v>
      </c>
      <c r="I6" s="7"/>
    </row>
    <row r="7" customFormat="false" ht="33.75" hidden="false" customHeight="true" outlineLevel="0" collapsed="false">
      <c r="A7" s="6" t="s">
        <v>11</v>
      </c>
      <c r="B7" s="6" t="s">
        <v>21</v>
      </c>
      <c r="C7" s="6"/>
      <c r="D7" s="7" t="s">
        <v>22</v>
      </c>
      <c r="E7" s="7" t="s">
        <v>23</v>
      </c>
      <c r="F7" s="7" t="s">
        <v>24</v>
      </c>
      <c r="G7" s="6" t="n">
        <v>50</v>
      </c>
      <c r="H7" s="6" t="s">
        <v>16</v>
      </c>
      <c r="I7" s="7"/>
    </row>
    <row r="8" customFormat="false" ht="33.75" hidden="false" customHeight="true" outlineLevel="0" collapsed="false">
      <c r="A8" s="6" t="s">
        <v>11</v>
      </c>
      <c r="B8" s="6" t="s">
        <v>25</v>
      </c>
      <c r="C8" s="6"/>
      <c r="D8" s="7" t="s">
        <v>26</v>
      </c>
      <c r="E8" s="7" t="s">
        <v>27</v>
      </c>
      <c r="F8" s="7" t="s">
        <v>28</v>
      </c>
      <c r="G8" s="6" t="n">
        <v>50</v>
      </c>
      <c r="H8" s="6" t="s">
        <v>16</v>
      </c>
      <c r="I8" s="7"/>
    </row>
    <row r="9" customFormat="false" ht="33.75" hidden="false" customHeight="true" outlineLevel="0" collapsed="false">
      <c r="A9" s="6" t="s">
        <v>11</v>
      </c>
      <c r="B9" s="6" t="s">
        <v>29</v>
      </c>
      <c r="C9" s="6"/>
      <c r="D9" s="7" t="s">
        <v>30</v>
      </c>
      <c r="E9" s="7" t="s">
        <v>31</v>
      </c>
      <c r="F9" s="7" t="s">
        <v>32</v>
      </c>
      <c r="G9" s="6" t="n">
        <v>50</v>
      </c>
      <c r="H9" s="6" t="s">
        <v>16</v>
      </c>
      <c r="I9" s="7"/>
    </row>
    <row r="10" customFormat="false" ht="33.75" hidden="false" customHeight="true" outlineLevel="0" collapsed="false">
      <c r="A10" s="6" t="s">
        <v>11</v>
      </c>
      <c r="B10" s="6" t="s">
        <v>33</v>
      </c>
      <c r="C10" s="6"/>
      <c r="D10" s="7" t="s">
        <v>34</v>
      </c>
      <c r="E10" s="7" t="s">
        <v>35</v>
      </c>
      <c r="F10" s="7" t="s">
        <v>36</v>
      </c>
      <c r="G10" s="6" t="n">
        <v>50</v>
      </c>
      <c r="H10" s="6" t="s">
        <v>16</v>
      </c>
      <c r="I10" s="7"/>
    </row>
    <row r="11" customFormat="false" ht="33.75" hidden="false" customHeight="true" outlineLevel="0" collapsed="false">
      <c r="A11" s="4" t="s">
        <v>37</v>
      </c>
      <c r="B11" s="4" t="s">
        <v>38</v>
      </c>
      <c r="C11" s="4"/>
      <c r="D11" s="5" t="s">
        <v>39</v>
      </c>
      <c r="E11" s="5" t="s">
        <v>40</v>
      </c>
      <c r="F11" s="5" t="s">
        <v>41</v>
      </c>
      <c r="G11" s="4" t="n">
        <v>50</v>
      </c>
      <c r="H11" s="4" t="s">
        <v>16</v>
      </c>
      <c r="I11" s="5"/>
    </row>
    <row r="12" customFormat="false" ht="33.75" hidden="false" customHeight="true" outlineLevel="0" collapsed="false">
      <c r="A12" s="6" t="s">
        <v>37</v>
      </c>
      <c r="B12" s="6" t="s">
        <v>42</v>
      </c>
      <c r="C12" s="6"/>
      <c r="D12" s="7" t="s">
        <v>43</v>
      </c>
      <c r="E12" s="7" t="s">
        <v>44</v>
      </c>
      <c r="F12" s="7" t="s">
        <v>45</v>
      </c>
      <c r="G12" s="6" t="n">
        <v>50</v>
      </c>
      <c r="H12" s="6" t="s">
        <v>16</v>
      </c>
      <c r="I12" s="7"/>
    </row>
    <row r="13" customFormat="false" ht="33.75" hidden="false" customHeight="true" outlineLevel="0" collapsed="false">
      <c r="A13" s="6" t="s">
        <v>37</v>
      </c>
      <c r="B13" s="6" t="s">
        <v>46</v>
      </c>
      <c r="C13" s="6"/>
      <c r="D13" s="7" t="s">
        <v>47</v>
      </c>
      <c r="E13" s="7" t="s">
        <v>48</v>
      </c>
      <c r="F13" s="7" t="s">
        <v>36</v>
      </c>
      <c r="G13" s="6" t="n">
        <v>50</v>
      </c>
      <c r="H13" s="6" t="s">
        <v>16</v>
      </c>
      <c r="I13" s="7"/>
    </row>
    <row r="14" customFormat="false" ht="33.75" hidden="false" customHeight="true" outlineLevel="0" collapsed="false">
      <c r="A14" s="6" t="s">
        <v>37</v>
      </c>
      <c r="B14" s="6" t="s">
        <v>49</v>
      </c>
      <c r="C14" s="6"/>
      <c r="D14" s="7" t="s">
        <v>50</v>
      </c>
      <c r="E14" s="7" t="s">
        <v>51</v>
      </c>
      <c r="F14" s="7" t="s">
        <v>52</v>
      </c>
      <c r="G14" s="6" t="n">
        <v>50</v>
      </c>
      <c r="H14" s="6" t="s">
        <v>16</v>
      </c>
      <c r="I14" s="7"/>
    </row>
    <row r="15" customFormat="false" ht="33.75" hidden="false" customHeight="true" outlineLevel="0" collapsed="false">
      <c r="A15" s="6" t="s">
        <v>37</v>
      </c>
      <c r="B15" s="6" t="s">
        <v>53</v>
      </c>
      <c r="C15" s="6"/>
      <c r="D15" s="7" t="s">
        <v>54</v>
      </c>
      <c r="E15" s="7" t="s">
        <v>55</v>
      </c>
      <c r="F15" s="7" t="s">
        <v>32</v>
      </c>
      <c r="G15" s="6" t="n">
        <v>50</v>
      </c>
      <c r="H15" s="6" t="s">
        <v>16</v>
      </c>
      <c r="I15" s="7"/>
    </row>
    <row r="16" customFormat="false" ht="33.75" hidden="false" customHeight="true" outlineLevel="0" collapsed="false">
      <c r="A16" s="6" t="s">
        <v>37</v>
      </c>
      <c r="B16" s="6" t="s">
        <v>56</v>
      </c>
      <c r="C16" s="6"/>
      <c r="D16" s="7" t="s">
        <v>57</v>
      </c>
      <c r="E16" s="7" t="s">
        <v>58</v>
      </c>
      <c r="F16" s="7" t="s">
        <v>59</v>
      </c>
      <c r="G16" s="6" t="n">
        <v>50</v>
      </c>
      <c r="H16" s="6" t="s">
        <v>16</v>
      </c>
      <c r="I16" s="7"/>
    </row>
    <row r="17" customFormat="false" ht="33.75" hidden="false" customHeight="true" outlineLevel="0" collapsed="false">
      <c r="A17" s="4" t="s">
        <v>60</v>
      </c>
      <c r="B17" s="4" t="s">
        <v>61</v>
      </c>
      <c r="C17" s="4"/>
      <c r="D17" s="5" t="s">
        <v>62</v>
      </c>
      <c r="E17" s="5" t="s">
        <v>63</v>
      </c>
      <c r="F17" s="5" t="s">
        <v>52</v>
      </c>
      <c r="G17" s="4" t="n">
        <v>50</v>
      </c>
      <c r="H17" s="4" t="s">
        <v>16</v>
      </c>
      <c r="I17" s="5"/>
    </row>
    <row r="18" customFormat="false" ht="33.75" hidden="false" customHeight="true" outlineLevel="0" collapsed="false">
      <c r="A18" s="6" t="s">
        <v>60</v>
      </c>
      <c r="B18" s="6" t="s">
        <v>64</v>
      </c>
      <c r="C18" s="6"/>
      <c r="D18" s="7" t="s">
        <v>65</v>
      </c>
      <c r="E18" s="7" t="s">
        <v>66</v>
      </c>
      <c r="F18" s="7" t="s">
        <v>67</v>
      </c>
      <c r="G18" s="6" t="n">
        <v>50</v>
      </c>
      <c r="H18" s="6" t="s">
        <v>16</v>
      </c>
      <c r="I18" s="7"/>
    </row>
    <row r="19" customFormat="false" ht="33.75" hidden="false" customHeight="true" outlineLevel="0" collapsed="false">
      <c r="A19" s="6" t="s">
        <v>60</v>
      </c>
      <c r="B19" s="6" t="s">
        <v>68</v>
      </c>
      <c r="C19" s="6"/>
      <c r="D19" s="7" t="s">
        <v>69</v>
      </c>
      <c r="E19" s="7" t="s">
        <v>70</v>
      </c>
      <c r="F19" s="7" t="s">
        <v>71</v>
      </c>
      <c r="G19" s="6" t="n">
        <v>50</v>
      </c>
      <c r="H19" s="6" t="s">
        <v>16</v>
      </c>
      <c r="I19" s="7"/>
    </row>
    <row r="20" customFormat="false" ht="33.75" hidden="false" customHeight="true" outlineLevel="0" collapsed="false">
      <c r="A20" s="6" t="s">
        <v>60</v>
      </c>
      <c r="B20" s="6" t="s">
        <v>72</v>
      </c>
      <c r="C20" s="6"/>
      <c r="D20" s="7" t="s">
        <v>73</v>
      </c>
      <c r="E20" s="7" t="s">
        <v>74</v>
      </c>
      <c r="F20" s="7" t="s">
        <v>36</v>
      </c>
      <c r="G20" s="6" t="n">
        <v>50</v>
      </c>
      <c r="H20" s="6" t="s">
        <v>16</v>
      </c>
      <c r="I20" s="7"/>
    </row>
    <row r="21" customFormat="false" ht="33.75" hidden="false" customHeight="true" outlineLevel="0" collapsed="false">
      <c r="A21" s="6" t="s">
        <v>60</v>
      </c>
      <c r="B21" s="6" t="s">
        <v>75</v>
      </c>
      <c r="C21" s="6"/>
      <c r="D21" s="7" t="s">
        <v>76</v>
      </c>
      <c r="E21" s="7" t="s">
        <v>77</v>
      </c>
      <c r="F21" s="7" t="s">
        <v>52</v>
      </c>
      <c r="G21" s="6" t="n">
        <v>50</v>
      </c>
      <c r="H21" s="6" t="s">
        <v>16</v>
      </c>
      <c r="I21" s="7"/>
    </row>
    <row r="22" customFormat="false" ht="33.75" hidden="false" customHeight="true" outlineLevel="0" collapsed="false">
      <c r="A22" s="6" t="s">
        <v>60</v>
      </c>
      <c r="B22" s="6" t="s">
        <v>78</v>
      </c>
      <c r="C22" s="6"/>
      <c r="D22" s="7" t="s">
        <v>79</v>
      </c>
      <c r="E22" s="7" t="s">
        <v>80</v>
      </c>
      <c r="F22" s="7" t="s">
        <v>59</v>
      </c>
      <c r="G22" s="6" t="n">
        <v>50</v>
      </c>
      <c r="H22" s="6" t="s">
        <v>16</v>
      </c>
      <c r="I22" s="7"/>
    </row>
    <row r="23" customFormat="false" ht="33.75" hidden="false" customHeight="true" outlineLevel="0" collapsed="false">
      <c r="A23" s="4" t="s">
        <v>81</v>
      </c>
      <c r="B23" s="4" t="s">
        <v>82</v>
      </c>
      <c r="C23" s="4"/>
      <c r="D23" s="5" t="s">
        <v>83</v>
      </c>
      <c r="E23" s="5" t="s">
        <v>84</v>
      </c>
      <c r="F23" s="5" t="s">
        <v>67</v>
      </c>
      <c r="G23" s="4" t="n">
        <v>50</v>
      </c>
      <c r="H23" s="4" t="s">
        <v>16</v>
      </c>
      <c r="I23" s="5"/>
    </row>
    <row r="24" customFormat="false" ht="33.75" hidden="false" customHeight="true" outlineLevel="0" collapsed="false">
      <c r="A24" s="6" t="s">
        <v>81</v>
      </c>
      <c r="B24" s="6" t="s">
        <v>85</v>
      </c>
      <c r="C24" s="6"/>
      <c r="D24" s="7" t="s">
        <v>86</v>
      </c>
      <c r="E24" s="7" t="s">
        <v>87</v>
      </c>
      <c r="F24" s="7" t="s">
        <v>71</v>
      </c>
      <c r="G24" s="6" t="n">
        <v>50</v>
      </c>
      <c r="H24" s="6" t="s">
        <v>16</v>
      </c>
      <c r="I24" s="7"/>
    </row>
    <row r="25" customFormat="false" ht="33.75" hidden="false" customHeight="true" outlineLevel="0" collapsed="false">
      <c r="A25" s="6" t="s">
        <v>81</v>
      </c>
      <c r="B25" s="6" t="s">
        <v>88</v>
      </c>
      <c r="C25" s="6"/>
      <c r="D25" s="7" t="s">
        <v>89</v>
      </c>
      <c r="E25" s="7" t="s">
        <v>90</v>
      </c>
      <c r="F25" s="7" t="s">
        <v>52</v>
      </c>
      <c r="G25" s="6" t="n">
        <v>50</v>
      </c>
      <c r="H25" s="6" t="s">
        <v>16</v>
      </c>
      <c r="I25" s="7"/>
    </row>
    <row r="26" customFormat="false" ht="33.75" hidden="false" customHeight="true" outlineLevel="0" collapsed="false">
      <c r="A26" s="6" t="s">
        <v>81</v>
      </c>
      <c r="B26" s="6" t="s">
        <v>91</v>
      </c>
      <c r="C26" s="6"/>
      <c r="D26" s="7" t="s">
        <v>92</v>
      </c>
      <c r="E26" s="7" t="s">
        <v>93</v>
      </c>
      <c r="F26" s="7" t="s">
        <v>36</v>
      </c>
      <c r="G26" s="6" t="n">
        <v>50</v>
      </c>
      <c r="H26" s="6" t="s">
        <v>16</v>
      </c>
      <c r="I26" s="7"/>
    </row>
    <row r="27" customFormat="false" ht="33.75" hidden="false" customHeight="true" outlineLevel="0" collapsed="false">
      <c r="A27" s="6" t="s">
        <v>81</v>
      </c>
      <c r="B27" s="6" t="s">
        <v>94</v>
      </c>
      <c r="C27" s="6"/>
      <c r="D27" s="7" t="s">
        <v>95</v>
      </c>
      <c r="E27" s="7" t="s">
        <v>96</v>
      </c>
      <c r="F27" s="7" t="s">
        <v>67</v>
      </c>
      <c r="G27" s="6" t="n">
        <v>50</v>
      </c>
      <c r="H27" s="6" t="s">
        <v>16</v>
      </c>
      <c r="I27" s="7"/>
    </row>
    <row r="28" customFormat="false" ht="33.75" hidden="false" customHeight="true" outlineLevel="0" collapsed="false">
      <c r="A28" s="6" t="s">
        <v>81</v>
      </c>
      <c r="B28" s="6" t="s">
        <v>97</v>
      </c>
      <c r="C28" s="6"/>
      <c r="D28" s="7" t="s">
        <v>98</v>
      </c>
      <c r="E28" s="7" t="s">
        <v>99</v>
      </c>
      <c r="F28" s="7" t="s">
        <v>59</v>
      </c>
      <c r="G28" s="6" t="n">
        <v>50</v>
      </c>
      <c r="H28" s="6" t="s">
        <v>16</v>
      </c>
      <c r="I28" s="7"/>
    </row>
    <row r="29" customFormat="false" ht="33.75" hidden="false" customHeight="true" outlineLevel="0" collapsed="false">
      <c r="A29" s="4" t="s">
        <v>100</v>
      </c>
      <c r="B29" s="4" t="s">
        <v>101</v>
      </c>
      <c r="C29" s="4"/>
      <c r="D29" s="5" t="s">
        <v>102</v>
      </c>
      <c r="E29" s="5" t="s">
        <v>103</v>
      </c>
      <c r="F29" s="5" t="s">
        <v>104</v>
      </c>
      <c r="G29" s="4" t="n">
        <v>50</v>
      </c>
      <c r="H29" s="4" t="s">
        <v>16</v>
      </c>
      <c r="I29" s="5"/>
    </row>
    <row r="30" customFormat="false" ht="33.75" hidden="false" customHeight="true" outlineLevel="0" collapsed="false">
      <c r="A30" s="6" t="s">
        <v>100</v>
      </c>
      <c r="B30" s="6" t="s">
        <v>105</v>
      </c>
      <c r="C30" s="6"/>
      <c r="D30" s="7" t="s">
        <v>106</v>
      </c>
      <c r="E30" s="7" t="s">
        <v>107</v>
      </c>
      <c r="F30" s="7" t="s">
        <v>104</v>
      </c>
      <c r="G30" s="6" t="n">
        <v>50</v>
      </c>
      <c r="H30" s="6" t="s">
        <v>16</v>
      </c>
      <c r="I30" s="7"/>
    </row>
    <row r="31" customFormat="false" ht="33.75" hidden="false" customHeight="true" outlineLevel="0" collapsed="false">
      <c r="A31" s="6" t="s">
        <v>100</v>
      </c>
      <c r="B31" s="6" t="s">
        <v>108</v>
      </c>
      <c r="C31" s="6"/>
      <c r="D31" s="7" t="s">
        <v>109</v>
      </c>
      <c r="E31" s="7" t="s">
        <v>110</v>
      </c>
      <c r="F31" s="7" t="s">
        <v>67</v>
      </c>
      <c r="G31" s="6" t="n">
        <v>50</v>
      </c>
      <c r="H31" s="6" t="s">
        <v>16</v>
      </c>
      <c r="I31" s="7"/>
    </row>
    <row r="32" customFormat="false" ht="33.75" hidden="false" customHeight="true" outlineLevel="0" collapsed="false">
      <c r="A32" s="6" t="s">
        <v>100</v>
      </c>
      <c r="B32" s="6" t="s">
        <v>111</v>
      </c>
      <c r="C32" s="6"/>
      <c r="D32" s="7" t="s">
        <v>112</v>
      </c>
      <c r="E32" s="7" t="s">
        <v>113</v>
      </c>
      <c r="F32" s="7" t="s">
        <v>71</v>
      </c>
      <c r="G32" s="6" t="n">
        <v>50</v>
      </c>
      <c r="H32" s="6" t="s">
        <v>16</v>
      </c>
      <c r="I32" s="7"/>
    </row>
    <row r="33" customFormat="false" ht="33.75" hidden="false" customHeight="true" outlineLevel="0" collapsed="false">
      <c r="A33" s="6" t="s">
        <v>100</v>
      </c>
      <c r="B33" s="6" t="s">
        <v>114</v>
      </c>
      <c r="C33" s="6"/>
      <c r="D33" s="7" t="s">
        <v>115</v>
      </c>
      <c r="E33" s="7" t="s">
        <v>116</v>
      </c>
      <c r="F33" s="7" t="s">
        <v>104</v>
      </c>
      <c r="G33" s="6" t="n">
        <v>50</v>
      </c>
      <c r="H33" s="6" t="s">
        <v>16</v>
      </c>
      <c r="I33" s="7"/>
    </row>
    <row r="34" customFormat="false" ht="33.75" hidden="false" customHeight="true" outlineLevel="0" collapsed="false">
      <c r="A34" s="6" t="s">
        <v>100</v>
      </c>
      <c r="B34" s="6" t="s">
        <v>117</v>
      </c>
      <c r="C34" s="6"/>
      <c r="D34" s="7" t="s">
        <v>118</v>
      </c>
      <c r="E34" s="7" t="s">
        <v>119</v>
      </c>
      <c r="F34" s="7" t="s">
        <v>59</v>
      </c>
      <c r="G34" s="6" t="n">
        <v>50</v>
      </c>
      <c r="H34" s="6" t="s">
        <v>16</v>
      </c>
      <c r="I34" s="7"/>
    </row>
    <row r="35" customFormat="false" ht="33.75" hidden="false" customHeight="true" outlineLevel="0" collapsed="false">
      <c r="A35" s="4" t="s">
        <v>120</v>
      </c>
      <c r="B35" s="4" t="s">
        <v>121</v>
      </c>
      <c r="C35" s="4"/>
      <c r="D35" s="5" t="s">
        <v>122</v>
      </c>
      <c r="E35" s="5" t="s">
        <v>123</v>
      </c>
      <c r="F35" s="5" t="s">
        <v>104</v>
      </c>
      <c r="G35" s="4" t="n">
        <v>50</v>
      </c>
      <c r="H35" s="4" t="s">
        <v>16</v>
      </c>
      <c r="I35" s="5"/>
    </row>
    <row r="36" customFormat="false" ht="33.75" hidden="false" customHeight="true" outlineLevel="0" collapsed="false">
      <c r="A36" s="6" t="s">
        <v>120</v>
      </c>
      <c r="B36" s="6" t="s">
        <v>124</v>
      </c>
      <c r="C36" s="6"/>
      <c r="D36" s="7" t="s">
        <v>125</v>
      </c>
      <c r="E36" s="7" t="s">
        <v>126</v>
      </c>
      <c r="F36" s="7" t="s">
        <v>67</v>
      </c>
      <c r="G36" s="6" t="n">
        <v>50</v>
      </c>
      <c r="H36" s="6" t="s">
        <v>16</v>
      </c>
      <c r="I36" s="7"/>
    </row>
    <row r="37" customFormat="false" ht="33.75" hidden="false" customHeight="true" outlineLevel="0" collapsed="false">
      <c r="A37" s="6" t="s">
        <v>120</v>
      </c>
      <c r="B37" s="6" t="s">
        <v>127</v>
      </c>
      <c r="C37" s="6"/>
      <c r="D37" s="7" t="s">
        <v>128</v>
      </c>
      <c r="E37" s="7" t="s">
        <v>129</v>
      </c>
      <c r="F37" s="7" t="s">
        <v>71</v>
      </c>
      <c r="G37" s="6" t="n">
        <v>50</v>
      </c>
      <c r="H37" s="6" t="s">
        <v>16</v>
      </c>
      <c r="I37" s="7"/>
    </row>
    <row r="38" customFormat="false" ht="33.75" hidden="false" customHeight="true" outlineLevel="0" collapsed="false">
      <c r="A38" s="6" t="s">
        <v>120</v>
      </c>
      <c r="B38" s="6" t="s">
        <v>130</v>
      </c>
      <c r="C38" s="6"/>
      <c r="D38" s="7" t="s">
        <v>131</v>
      </c>
      <c r="E38" s="7" t="s">
        <v>132</v>
      </c>
      <c r="F38" s="7" t="s">
        <v>104</v>
      </c>
      <c r="G38" s="6" t="n">
        <v>50</v>
      </c>
      <c r="H38" s="6" t="s">
        <v>16</v>
      </c>
      <c r="I38" s="7"/>
    </row>
    <row r="39" customFormat="false" ht="33.75" hidden="false" customHeight="true" outlineLevel="0" collapsed="false">
      <c r="A39" s="6" t="s">
        <v>120</v>
      </c>
      <c r="B39" s="6" t="s">
        <v>133</v>
      </c>
      <c r="C39" s="6"/>
      <c r="D39" s="7" t="s">
        <v>134</v>
      </c>
      <c r="E39" s="7" t="s">
        <v>135</v>
      </c>
      <c r="F39" s="7" t="s">
        <v>136</v>
      </c>
      <c r="G39" s="6" t="n">
        <v>50</v>
      </c>
      <c r="H39" s="6" t="s">
        <v>16</v>
      </c>
      <c r="I39" s="7"/>
    </row>
    <row r="40" customFormat="false" ht="33.75" hidden="false" customHeight="true" outlineLevel="0" collapsed="false">
      <c r="A40" s="6" t="s">
        <v>120</v>
      </c>
      <c r="B40" s="6" t="s">
        <v>137</v>
      </c>
      <c r="C40" s="6"/>
      <c r="D40" s="7" t="s">
        <v>138</v>
      </c>
      <c r="E40" s="7" t="s">
        <v>139</v>
      </c>
      <c r="F40" s="7" t="s">
        <v>59</v>
      </c>
      <c r="G40" s="6" t="n">
        <v>50</v>
      </c>
      <c r="H40" s="6" t="s">
        <v>16</v>
      </c>
      <c r="I40" s="7"/>
    </row>
    <row r="41" customFormat="false" ht="33.75" hidden="false" customHeight="true" outlineLevel="0" collapsed="false">
      <c r="A41" s="4" t="s">
        <v>140</v>
      </c>
      <c r="B41" s="4" t="s">
        <v>141</v>
      </c>
      <c r="C41" s="4"/>
      <c r="D41" s="5" t="s">
        <v>142</v>
      </c>
      <c r="E41" s="5" t="s">
        <v>143</v>
      </c>
      <c r="F41" s="5" t="s">
        <v>104</v>
      </c>
      <c r="G41" s="4" t="n">
        <v>50</v>
      </c>
      <c r="H41" s="4" t="s">
        <v>16</v>
      </c>
      <c r="I41" s="5"/>
    </row>
    <row r="42" customFormat="false" ht="33.75" hidden="false" customHeight="true" outlineLevel="0" collapsed="false">
      <c r="A42" s="6" t="s">
        <v>140</v>
      </c>
      <c r="B42" s="6" t="s">
        <v>144</v>
      </c>
      <c r="C42" s="6"/>
      <c r="D42" s="7" t="s">
        <v>145</v>
      </c>
      <c r="E42" s="7" t="s">
        <v>146</v>
      </c>
      <c r="F42" s="7" t="s">
        <v>136</v>
      </c>
      <c r="G42" s="6" t="n">
        <v>50</v>
      </c>
      <c r="H42" s="6" t="s">
        <v>16</v>
      </c>
      <c r="I42" s="7"/>
    </row>
    <row r="43" customFormat="false" ht="33.75" hidden="false" customHeight="true" outlineLevel="0" collapsed="false">
      <c r="A43" s="6" t="s">
        <v>140</v>
      </c>
      <c r="B43" s="6" t="s">
        <v>147</v>
      </c>
      <c r="C43" s="6"/>
      <c r="D43" s="7" t="s">
        <v>148</v>
      </c>
      <c r="E43" s="7" t="s">
        <v>149</v>
      </c>
      <c r="F43" s="7" t="s">
        <v>150</v>
      </c>
      <c r="G43" s="6" t="n">
        <v>50</v>
      </c>
      <c r="H43" s="6" t="s">
        <v>16</v>
      </c>
      <c r="I43" s="7"/>
    </row>
    <row r="44" customFormat="false" ht="33.75" hidden="false" customHeight="true" outlineLevel="0" collapsed="false">
      <c r="A44" s="6" t="s">
        <v>140</v>
      </c>
      <c r="B44" s="6" t="s">
        <v>151</v>
      </c>
      <c r="C44" s="6"/>
      <c r="D44" s="7" t="s">
        <v>152</v>
      </c>
      <c r="E44" s="7" t="s">
        <v>153</v>
      </c>
      <c r="F44" s="7" t="s">
        <v>67</v>
      </c>
      <c r="G44" s="6" t="n">
        <v>50</v>
      </c>
      <c r="H44" s="6" t="s">
        <v>16</v>
      </c>
      <c r="I44" s="7"/>
    </row>
    <row r="45" customFormat="false" ht="33.75" hidden="false" customHeight="true" outlineLevel="0" collapsed="false">
      <c r="A45" s="6" t="s">
        <v>140</v>
      </c>
      <c r="B45" s="6" t="s">
        <v>154</v>
      </c>
      <c r="C45" s="6"/>
      <c r="D45" s="7" t="s">
        <v>155</v>
      </c>
      <c r="E45" s="7" t="s">
        <v>156</v>
      </c>
      <c r="F45" s="7" t="s">
        <v>104</v>
      </c>
      <c r="G45" s="6" t="n">
        <v>50</v>
      </c>
      <c r="H45" s="6" t="s">
        <v>16</v>
      </c>
      <c r="I45" s="7"/>
    </row>
    <row r="46" customFormat="false" ht="33.75" hidden="false" customHeight="true" outlineLevel="0" collapsed="false">
      <c r="A46" s="6" t="s">
        <v>140</v>
      </c>
      <c r="B46" s="6" t="s">
        <v>157</v>
      </c>
      <c r="C46" s="6"/>
      <c r="D46" s="7" t="s">
        <v>158</v>
      </c>
      <c r="E46" s="7" t="s">
        <v>159</v>
      </c>
      <c r="F46" s="7" t="s">
        <v>59</v>
      </c>
      <c r="G46" s="6" t="n">
        <v>50</v>
      </c>
      <c r="H46" s="6" t="s">
        <v>16</v>
      </c>
      <c r="I46" s="7"/>
    </row>
    <row r="47" customFormat="false" ht="33.75" hidden="false" customHeight="true" outlineLevel="0" collapsed="false">
      <c r="A47" s="4" t="s">
        <v>160</v>
      </c>
      <c r="B47" s="4" t="s">
        <v>161</v>
      </c>
      <c r="C47" s="4"/>
      <c r="D47" s="5" t="s">
        <v>162</v>
      </c>
      <c r="E47" s="5" t="s">
        <v>163</v>
      </c>
      <c r="F47" s="5" t="s">
        <v>136</v>
      </c>
      <c r="G47" s="4" t="n">
        <v>50</v>
      </c>
      <c r="H47" s="4" t="s">
        <v>16</v>
      </c>
      <c r="I47" s="5"/>
    </row>
    <row r="48" customFormat="false" ht="33.75" hidden="false" customHeight="true" outlineLevel="0" collapsed="false">
      <c r="A48" s="6" t="s">
        <v>160</v>
      </c>
      <c r="B48" s="6" t="s">
        <v>164</v>
      </c>
      <c r="C48" s="6"/>
      <c r="D48" s="7" t="s">
        <v>165</v>
      </c>
      <c r="E48" s="7" t="s">
        <v>166</v>
      </c>
      <c r="F48" s="7" t="s">
        <v>150</v>
      </c>
      <c r="G48" s="6" t="n">
        <v>50</v>
      </c>
      <c r="H48" s="6" t="s">
        <v>16</v>
      </c>
      <c r="I48" s="7"/>
    </row>
    <row r="49" customFormat="false" ht="33.75" hidden="false" customHeight="true" outlineLevel="0" collapsed="false">
      <c r="A49" s="6" t="s">
        <v>160</v>
      </c>
      <c r="B49" s="6" t="s">
        <v>167</v>
      </c>
      <c r="C49" s="6"/>
      <c r="D49" s="7" t="s">
        <v>168</v>
      </c>
      <c r="E49" s="7" t="s">
        <v>169</v>
      </c>
      <c r="F49" s="7" t="s">
        <v>104</v>
      </c>
      <c r="G49" s="6" t="n">
        <v>50</v>
      </c>
      <c r="H49" s="6" t="s">
        <v>16</v>
      </c>
      <c r="I49" s="7"/>
    </row>
    <row r="50" customFormat="false" ht="33.75" hidden="false" customHeight="true" outlineLevel="0" collapsed="false">
      <c r="A50" s="6" t="s">
        <v>160</v>
      </c>
      <c r="B50" s="6" t="s">
        <v>170</v>
      </c>
      <c r="C50" s="6"/>
      <c r="D50" s="7" t="s">
        <v>171</v>
      </c>
      <c r="E50" s="7" t="s">
        <v>172</v>
      </c>
      <c r="F50" s="7" t="s">
        <v>67</v>
      </c>
      <c r="G50" s="6" t="n">
        <v>50</v>
      </c>
      <c r="H50" s="6" t="s">
        <v>16</v>
      </c>
      <c r="I50" s="7"/>
    </row>
    <row r="51" customFormat="false" ht="33.75" hidden="false" customHeight="true" outlineLevel="0" collapsed="false">
      <c r="A51" s="6" t="s">
        <v>160</v>
      </c>
      <c r="B51" s="6" t="s">
        <v>173</v>
      </c>
      <c r="C51" s="6"/>
      <c r="D51" s="7" t="s">
        <v>174</v>
      </c>
      <c r="E51" s="7" t="s">
        <v>175</v>
      </c>
      <c r="F51" s="7" t="s">
        <v>59</v>
      </c>
      <c r="G51" s="6" t="n">
        <v>50</v>
      </c>
      <c r="H51" s="6" t="s">
        <v>16</v>
      </c>
      <c r="I51" s="7"/>
    </row>
    <row r="52" customFormat="false" ht="33.75" hidden="false" customHeight="true" outlineLevel="0" collapsed="false">
      <c r="A52" s="6" t="s">
        <v>160</v>
      </c>
      <c r="B52" s="6" t="s">
        <v>176</v>
      </c>
      <c r="C52" s="6"/>
      <c r="D52" s="7" t="s">
        <v>177</v>
      </c>
      <c r="E52" s="7" t="s">
        <v>175</v>
      </c>
      <c r="F52" s="7" t="s">
        <v>178</v>
      </c>
      <c r="G52" s="6" t="n">
        <v>50</v>
      </c>
      <c r="H52" s="6" t="s">
        <v>16</v>
      </c>
      <c r="I52" s="7"/>
    </row>
    <row r="53" customFormat="false" ht="33.75" hidden="false" customHeight="true" outlineLevel="0" collapsed="false">
      <c r="A53" s="4" t="s">
        <v>179</v>
      </c>
      <c r="B53" s="4" t="s">
        <v>180</v>
      </c>
      <c r="C53" s="4"/>
      <c r="D53" s="5" t="s">
        <v>181</v>
      </c>
      <c r="E53" s="5" t="s">
        <v>182</v>
      </c>
      <c r="F53" s="5" t="s">
        <v>183</v>
      </c>
      <c r="G53" s="4" t="n">
        <v>50</v>
      </c>
      <c r="H53" s="4" t="s">
        <v>16</v>
      </c>
      <c r="I53" s="5"/>
    </row>
    <row r="54" customFormat="false" ht="33.75" hidden="false" customHeight="true" outlineLevel="0" collapsed="false">
      <c r="A54" s="6" t="s">
        <v>179</v>
      </c>
      <c r="B54" s="6" t="s">
        <v>184</v>
      </c>
      <c r="C54" s="6"/>
      <c r="D54" s="7" t="s">
        <v>185</v>
      </c>
      <c r="E54" s="7" t="s">
        <v>186</v>
      </c>
      <c r="F54" s="7" t="s">
        <v>187</v>
      </c>
      <c r="G54" s="6" t="n">
        <v>50</v>
      </c>
      <c r="H54" s="6" t="s">
        <v>16</v>
      </c>
      <c r="I54" s="7"/>
    </row>
    <row r="55" customFormat="false" ht="33.75" hidden="false" customHeight="true" outlineLevel="0" collapsed="false">
      <c r="A55" s="6" t="s">
        <v>179</v>
      </c>
      <c r="B55" s="6" t="s">
        <v>188</v>
      </c>
      <c r="C55" s="6"/>
      <c r="D55" s="7" t="s">
        <v>189</v>
      </c>
      <c r="E55" s="7" t="s">
        <v>190</v>
      </c>
      <c r="F55" s="7" t="s">
        <v>191</v>
      </c>
      <c r="G55" s="6" t="n">
        <v>50</v>
      </c>
      <c r="H55" s="6" t="s">
        <v>16</v>
      </c>
      <c r="I55" s="7"/>
    </row>
    <row r="56" customFormat="false" ht="33.75" hidden="false" customHeight="true" outlineLevel="0" collapsed="false">
      <c r="A56" s="6" t="s">
        <v>179</v>
      </c>
      <c r="B56" s="6" t="s">
        <v>192</v>
      </c>
      <c r="C56" s="6"/>
      <c r="D56" s="7" t="s">
        <v>193</v>
      </c>
      <c r="E56" s="7" t="s">
        <v>194</v>
      </c>
      <c r="F56" s="7" t="s">
        <v>195</v>
      </c>
      <c r="G56" s="6" t="n">
        <v>50</v>
      </c>
      <c r="H56" s="6" t="s">
        <v>16</v>
      </c>
      <c r="I56" s="7"/>
    </row>
    <row r="57" customFormat="false" ht="33.75" hidden="false" customHeight="true" outlineLevel="0" collapsed="false">
      <c r="A57" s="6" t="s">
        <v>179</v>
      </c>
      <c r="B57" s="6" t="s">
        <v>196</v>
      </c>
      <c r="C57" s="6"/>
      <c r="D57" s="7" t="s">
        <v>197</v>
      </c>
      <c r="E57" s="7" t="s">
        <v>198</v>
      </c>
      <c r="F57" s="7" t="s">
        <v>198</v>
      </c>
      <c r="G57" s="6" t="n">
        <v>50</v>
      </c>
      <c r="H57" s="6" t="s">
        <v>16</v>
      </c>
      <c r="I57" s="7"/>
    </row>
    <row r="58" customFormat="false" ht="33.75" hidden="false" customHeight="true" outlineLevel="0" collapsed="false">
      <c r="A58" s="6" t="s">
        <v>179</v>
      </c>
      <c r="B58" s="6" t="s">
        <v>199</v>
      </c>
      <c r="C58" s="6"/>
      <c r="D58" s="7" t="s">
        <v>200</v>
      </c>
      <c r="E58" s="7" t="s">
        <v>198</v>
      </c>
      <c r="F58" s="7" t="s">
        <v>198</v>
      </c>
      <c r="G58" s="6" t="n">
        <v>50</v>
      </c>
      <c r="H58" s="6" t="s">
        <v>16</v>
      </c>
      <c r="I58" s="7"/>
    </row>
  </sheetData>
  <mergeCells count="2">
    <mergeCell ref="A1:I1"/>
    <mergeCell ref="A2:I2"/>
  </mergeCells>
  <conditionalFormatting sqref="H5:H5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true" errorStyle="stop" operator="between" showDropDown="false" showErrorMessage="false" showInputMessage="false" sqref="H5:H58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7" min="5" style="0" width="12"/>
  </cols>
  <sheetData>
    <row r="1" customFormat="false" ht="19.7" hidden="false" customHeight="false" outlineLevel="0" collapsed="false">
      <c r="A1" s="8" t="s">
        <v>201</v>
      </c>
      <c r="B1" s="8"/>
      <c r="C1" s="8"/>
      <c r="D1" s="8"/>
    </row>
    <row r="2" customFormat="false" ht="15" hidden="false" customHeight="false" outlineLevel="0" collapsed="false">
      <c r="A2" s="9" t="s">
        <v>202</v>
      </c>
      <c r="B2" s="9"/>
      <c r="C2" s="9"/>
      <c r="D2" s="9"/>
    </row>
    <row r="4" customFormat="false" ht="26.85" hidden="false" customHeight="false" outlineLevel="0" collapsed="false">
      <c r="A4" s="10" t="s">
        <v>203</v>
      </c>
      <c r="B4" s="11" t="n">
        <f aca="false">COUNTA(Tracker!B5:B58)</f>
        <v>54</v>
      </c>
      <c r="D4" s="12" t="s">
        <v>2</v>
      </c>
      <c r="E4" s="12" t="s">
        <v>204</v>
      </c>
      <c r="F4" s="12" t="s">
        <v>205</v>
      </c>
      <c r="G4" s="12" t="s">
        <v>206</v>
      </c>
    </row>
    <row r="5" customFormat="false" ht="15" hidden="false" customHeight="false" outlineLevel="0" collapsed="false">
      <c r="A5" s="10" t="s">
        <v>207</v>
      </c>
      <c r="B5" s="11" t="n">
        <f aca="false">COUNTIF(Tracker!H5:H58,"Done")</f>
        <v>0</v>
      </c>
      <c r="D5" s="7" t="s">
        <v>11</v>
      </c>
      <c r="E5" s="6" t="n">
        <f aca="false">COUNTIFS(Tracker!$A$5:$A$58,"Wk 1: Number System",Tracker!$H$5:$H$58,"Done")</f>
        <v>0</v>
      </c>
      <c r="F5" s="6" t="n">
        <f aca="false">COUNTIF(Tracker!$A$5:$A$58,"Wk 1: Number System")</f>
        <v>6</v>
      </c>
      <c r="G5" s="13" t="n">
        <f aca="false">IFERROR(E5/F5,0)</f>
        <v>0</v>
      </c>
    </row>
    <row r="6" customFormat="false" ht="15" hidden="false" customHeight="false" outlineLevel="0" collapsed="false">
      <c r="A6" s="10" t="s">
        <v>208</v>
      </c>
      <c r="B6" s="11" t="n">
        <f aca="false">COUNTIF(Tracker!H5:H58,"In Progress")</f>
        <v>0</v>
      </c>
      <c r="D6" s="7" t="s">
        <v>37</v>
      </c>
      <c r="E6" s="6" t="n">
        <f aca="false">COUNTIFS(Tracker!$A$5:$A$58,"Wk 2: Percentages",Tracker!$H$5:$H$58,"Done")</f>
        <v>0</v>
      </c>
      <c r="F6" s="6" t="n">
        <f aca="false">COUNTIF(Tracker!$A$5:$A$58,"Wk 2: Percentages")</f>
        <v>6</v>
      </c>
      <c r="G6" s="13" t="n">
        <f aca="false">IFERROR(E6/F6,0)</f>
        <v>0</v>
      </c>
    </row>
    <row r="7" customFormat="false" ht="15" hidden="false" customHeight="false" outlineLevel="0" collapsed="false">
      <c r="A7" s="10" t="s">
        <v>16</v>
      </c>
      <c r="B7" s="11" t="n">
        <f aca="false">COUNTIF(Tracker!H5:H58,"Not Started")</f>
        <v>54</v>
      </c>
      <c r="D7" s="7" t="s">
        <v>60</v>
      </c>
      <c r="E7" s="6" t="n">
        <f aca="false">COUNTIFS(Tracker!$A$5:$A$58,"Wk 3: Profit/Loss, SI &amp; CI",Tracker!$H$5:$H$58,"Done")</f>
        <v>0</v>
      </c>
      <c r="F7" s="6" t="n">
        <f aca="false">COUNTIF(Tracker!$A$5:$A$58,"Wk 3: Profit/Loss, SI &amp; CI")</f>
        <v>6</v>
      </c>
      <c r="G7" s="13" t="n">
        <f aca="false">IFERROR(E7/F7,0)</f>
        <v>0</v>
      </c>
    </row>
    <row r="8" customFormat="false" ht="15" hidden="false" customHeight="false" outlineLevel="0" collapsed="false">
      <c r="A8" s="10" t="s">
        <v>209</v>
      </c>
      <c r="B8" s="11" t="n">
        <f aca="false">COUNTIF(Tracker!H5:H58,"Skipped")</f>
        <v>0</v>
      </c>
      <c r="D8" s="7" t="s">
        <v>81</v>
      </c>
      <c r="E8" s="6" t="n">
        <f aca="false">COUNTIFS(Tracker!$A$5:$A$58,"Wk 4: Ratio, Averages, Mixtures",Tracker!$H$5:$H$58,"Done")</f>
        <v>0</v>
      </c>
      <c r="F8" s="6" t="n">
        <f aca="false">COUNTIF(Tracker!$A$5:$A$58,"Wk 4: Ratio, Averages, Mixtures")</f>
        <v>6</v>
      </c>
      <c r="G8" s="13" t="n">
        <f aca="false">IFERROR(E8/F8,0)</f>
        <v>0</v>
      </c>
    </row>
    <row r="9" customFormat="false" ht="15" hidden="false" customHeight="false" outlineLevel="0" collapsed="false">
      <c r="A9" s="10" t="s">
        <v>206</v>
      </c>
      <c r="B9" s="14" t="n">
        <f aca="false">IFERROR(B5/B4,0)</f>
        <v>0</v>
      </c>
      <c r="D9" s="7" t="s">
        <v>100</v>
      </c>
      <c r="E9" s="6" t="n">
        <f aca="false">COUNTIFS(Tracker!$A$5:$A$58,"Wk 5: Time &amp; Work, Pipes &amp; Cisterns",Tracker!$H$5:$H$58,"Done")</f>
        <v>0</v>
      </c>
      <c r="F9" s="6" t="n">
        <f aca="false">COUNTIF(Tracker!$A$5:$A$58,"Wk 5: Time &amp; Work, Pipes &amp; Cisterns")</f>
        <v>6</v>
      </c>
      <c r="G9" s="13" t="n">
        <f aca="false">IFERROR(E9/F9,0)</f>
        <v>0</v>
      </c>
    </row>
    <row r="10" customFormat="false" ht="15" hidden="false" customHeight="false" outlineLevel="0" collapsed="false">
      <c r="D10" s="7" t="s">
        <v>120</v>
      </c>
      <c r="E10" s="6" t="n">
        <f aca="false">COUNTIFS(Tracker!$A$5:$A$58,"Wk 6: Time, Speed &amp; Distance",Tracker!$H$5:$H$58,"Done")</f>
        <v>0</v>
      </c>
      <c r="F10" s="6" t="n">
        <f aca="false">COUNTIF(Tracker!$A$5:$A$58,"Wk 6: Time, Speed &amp; Distance")</f>
        <v>6</v>
      </c>
      <c r="G10" s="13" t="n">
        <f aca="false">IFERROR(E10/F10,0)</f>
        <v>0</v>
      </c>
    </row>
    <row r="11" customFormat="false" ht="23.85" hidden="false" customHeight="false" outlineLevel="0" collapsed="false">
      <c r="D11" s="7" t="s">
        <v>140</v>
      </c>
      <c r="E11" s="6" t="n">
        <f aca="false">COUNTIFS(Tracker!$A$5:$A$58,"Wk 7: Permutation, Combination &amp; Probability",Tracker!$H$5:$H$58,"Done")</f>
        <v>0</v>
      </c>
      <c r="F11" s="6" t="n">
        <f aca="false">COUNTIF(Tracker!$A$5:$A$58,"Wk 7: Permutation, Combination &amp; Probability")</f>
        <v>6</v>
      </c>
      <c r="G11" s="13" t="n">
        <f aca="false">IFERROR(E11/F11,0)</f>
        <v>0</v>
      </c>
    </row>
    <row r="12" customFormat="false" ht="15" hidden="false" customHeight="false" outlineLevel="0" collapsed="false">
      <c r="D12" s="7" t="s">
        <v>160</v>
      </c>
      <c r="E12" s="6" t="n">
        <f aca="false">COUNTIFS(Tracker!$A$5:$A$58,"Wk 8: Data Interpretation",Tracker!$H$5:$H$58,"Done")</f>
        <v>0</v>
      </c>
      <c r="F12" s="6" t="n">
        <f aca="false">COUNTIF(Tracker!$A$5:$A$58,"Wk 8: Data Interpretation")</f>
        <v>6</v>
      </c>
      <c r="G12" s="13" t="n">
        <f aca="false">IFERROR(E12/F12,0)</f>
        <v>0</v>
      </c>
    </row>
    <row r="13" customFormat="false" ht="15" hidden="false" customHeight="false" outlineLevel="0" collapsed="false">
      <c r="D13" s="7" t="s">
        <v>179</v>
      </c>
      <c r="E13" s="6" t="n">
        <f aca="false">COUNTIFS(Tracker!$A$5:$A$58,"Wk 9: Full Revision &amp; Mock Tests",Tracker!$H$5:$H$58,"Done")</f>
        <v>0</v>
      </c>
      <c r="F13" s="6" t="n">
        <f aca="false">COUNTIF(Tracker!$A$5:$A$58,"Wk 9: Full Revision &amp; Mock Tests")</f>
        <v>6</v>
      </c>
      <c r="G13" s="13" t="n">
        <f aca="false">IFERROR(E13/F13,0)</f>
        <v>0</v>
      </c>
    </row>
    <row r="16" customFormat="false" ht="15" hidden="false" customHeight="false" outlineLevel="0" collapsed="false">
      <c r="A16" s="10" t="s">
        <v>210</v>
      </c>
    </row>
    <row r="17" customFormat="false" ht="15" hidden="false" customHeight="false" outlineLevel="0" collapsed="false">
      <c r="A17" s="15" t="s">
        <v>211</v>
      </c>
      <c r="B17" s="15"/>
      <c r="C17" s="15"/>
      <c r="D17" s="15"/>
    </row>
    <row r="18" customFormat="false" ht="15" hidden="false" customHeight="false" outlineLevel="0" collapsed="false">
      <c r="A18" s="15" t="s">
        <v>212</v>
      </c>
      <c r="B18" s="15"/>
      <c r="C18" s="15"/>
      <c r="D18" s="15"/>
    </row>
    <row r="19" customFormat="false" ht="15" hidden="false" customHeight="false" outlineLevel="0" collapsed="false">
      <c r="A19" s="15" t="s">
        <v>213</v>
      </c>
      <c r="B19" s="15"/>
      <c r="C19" s="15"/>
      <c r="D19" s="15"/>
    </row>
    <row r="20" customFormat="false" ht="15" hidden="false" customHeight="false" outlineLevel="0" collapsed="false">
      <c r="A20" s="15" t="s">
        <v>214</v>
      </c>
      <c r="B20" s="15"/>
      <c r="C20" s="15"/>
      <c r="D20" s="15"/>
    </row>
    <row r="21" customFormat="false" ht="15" hidden="false" customHeight="false" outlineLevel="0" collapsed="false">
      <c r="A21" s="15" t="s">
        <v>215</v>
      </c>
      <c r="B21" s="15"/>
      <c r="C21" s="15"/>
      <c r="D21" s="15"/>
    </row>
  </sheetData>
  <mergeCells count="7">
    <mergeCell ref="A1:D1"/>
    <mergeCell ref="A2:D2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2026-07-21T13:47:50Z</dcterms:created>
  <dc:creator>openpyxl</dc:creator>
  <dc:description/>
  <dc:language>en-US</dc:language>
  <cp:lastModifiedBy/>
  <dcterms:modified xsi:type="dcterms:W3CDTF">2026-07-21T13:47:50Z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